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mcidades.sharepoint.com/sites/DEMOB/Documentos Compartilhados/AOF/Dados painel/vscode/"/>
    </mc:Choice>
  </mc:AlternateContent>
  <xr:revisionPtr revIDLastSave="141" documentId="8_{A80E839E-259F-43D5-B3EF-865F9444D52C}" xr6:coauthVersionLast="47" xr6:coauthVersionMax="47" xr10:uidLastSave="{77B7EC06-6C49-4512-8525-912E0D2452B7}"/>
  <bookViews>
    <workbookView xWindow="28680" yWindow="-300" windowWidth="29040" windowHeight="15720" xr2:uid="{FC19E197-98C7-4572-A65B-E1DAE880E8FC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7" i="1" l="1"/>
  <c r="N6" i="1"/>
  <c r="N5" i="1"/>
  <c r="N4" i="1"/>
  <c r="N3" i="1"/>
  <c r="N2" i="1"/>
</calcChain>
</file>

<file path=xl/sharedStrings.xml><?xml version="1.0" encoding="utf-8"?>
<sst xmlns="http://schemas.openxmlformats.org/spreadsheetml/2006/main" count="40" uniqueCount="30">
  <si>
    <t>REGIÃO</t>
  </si>
  <si>
    <t>LIMITE</t>
  </si>
  <si>
    <t>A CONTRATAR AVANÇAR</t>
  </si>
  <si>
    <t>A CONTRATAR GM PRIVADO</t>
  </si>
  <si>
    <t>A CONTRATAR REFROTA PRIVADO</t>
  </si>
  <si>
    <t>CONTRATADO AVANÇAR</t>
  </si>
  <si>
    <t>CONTRATADO GM PÚBLICO</t>
  </si>
  <si>
    <t>CONTRATADO REFROTA PRIVADO</t>
  </si>
  <si>
    <t>CONTRATADO REFROTA PÚBLICO</t>
  </si>
  <si>
    <t>SELEÇÃO A PUBLICAR AVANÇAR</t>
  </si>
  <si>
    <t>SELEÇÃO A PUBLICAR GM PRIVADO</t>
  </si>
  <si>
    <t>SELEÇÃO A PUBLICAR REFROTA PRIVADO</t>
  </si>
  <si>
    <t>VALOR EXECUTADO</t>
  </si>
  <si>
    <t>SALDO</t>
  </si>
  <si>
    <t>Centro-Oeste</t>
  </si>
  <si>
    <t xml:space="preserve"> R$                                                      -  </t>
  </si>
  <si>
    <t xml:space="preserve">R$ -   </t>
  </si>
  <si>
    <t>Nordeste</t>
  </si>
  <si>
    <t xml:space="preserve"> R$ -   </t>
  </si>
  <si>
    <t xml:space="preserve"> R$                                                                -  </t>
  </si>
  <si>
    <t xml:space="preserve"> R$                                                                                       -  </t>
  </si>
  <si>
    <t>Norte</t>
  </si>
  <si>
    <t xml:space="preserve"> R$                                                               -  </t>
  </si>
  <si>
    <t>Sudeste</t>
  </si>
  <si>
    <t>Sul</t>
  </si>
  <si>
    <t>Brasil</t>
  </si>
  <si>
    <t>Observações:</t>
  </si>
  <si>
    <t>- TIC Trens: R$ 1,425 bi</t>
  </si>
  <si>
    <t xml:space="preserve">- Linha 4 SP: R$ 1,25 bi
- Bloco Leste SP: R$ 0,11 bi
</t>
  </si>
  <si>
    <t>- Linha 4:R$1,250 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</si>
</sst>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0" fontId="0" fillId="0" borderId="0" xfId="0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horizontal="center" vertical="center"/>
    </xf>
    <xf numFmtId="8" fontId="0" fillId="0" borderId="0" xfId="0" applyNumberFormat="1"/>
    <xf numFmtId="8" fontId="0" fillId="2" borderId="0" xfId="0" applyNumberFormat="1" applyFill="1"/>
    <xf numFmtId="164" fontId="0" fillId="0" borderId="0" xfId="0" applyNumberFormat="1"/>
  </cellXfs>
  <cellStyles count="1">
    <cellStyle name="Normal" xfId="0" builtinId="0"/>
  </cellStyles>
  <dxfs count="14">
    <dxf>
      <numFmt numFmtId="34" formatCode="_-&quot;R$&quot;\ * #,##0.00_-;\-&quot;R$&quot;\ * #,##0.00_-;_-&quot;R$&quot;\ * &quot;-&quot;??_-;_-@_-"/>
      <fill>
        <patternFill patternType="solid">
          <fgColor indexed="64"/>
          <bgColor rgb="FFFFC000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09D132-5F61-49C6-9EE6-034A18AFA5D6}" name="Tabela432" displayName="Tabela432" ref="A1:N7" totalsRowShown="0" headerRowDxfId="13">
  <autoFilter ref="A1:N7" xr:uid="{8609D132-5F61-49C6-9EE6-034A18AFA5D6}"/>
  <tableColumns count="14">
    <tableColumn id="1" xr3:uid="{7F4504F4-2B48-45D0-8044-153C8E8F5641}" name="REGIÃO"/>
    <tableColumn id="2" xr3:uid="{96A452D1-04FD-4FB1-9B7A-9149B2B32B91}" name="LIMITE" dataDxfId="12"/>
    <tableColumn id="3" xr3:uid="{DE9EF57E-50D3-4E86-8879-59FB1CDA39D6}" name="A CONTRATAR AVANÇAR" dataDxfId="11"/>
    <tableColumn id="14" xr3:uid="{3855FB98-CD6C-493A-8706-6B2A217D08AC}" name="A CONTRATAR GM PRIVADO" dataDxfId="10"/>
    <tableColumn id="11" xr3:uid="{64BE34BE-2D8A-4D18-92CF-862001DAD834}" name="A CONTRATAR REFROTA PRIVADO" dataDxfId="9"/>
    <tableColumn id="4" xr3:uid="{959B306B-AAE6-41E5-98A1-C189B1C6DD04}" name="CONTRATADO AVANÇAR" dataDxfId="8"/>
    <tableColumn id="13" xr3:uid="{04BE3386-677B-4927-B182-D83D47640FEB}" name="CONTRATADO GM PÚBLICO" dataDxfId="7"/>
    <tableColumn id="5" xr3:uid="{45487E33-9D97-4F1F-BBD2-313A2B20FE32}" name="CONTRATADO REFROTA PRIVADO" dataDxfId="6"/>
    <tableColumn id="17" xr3:uid="{2BFF60E0-6D3D-4C88-862F-3374645E24FA}" name="CONTRATADO REFROTA PÚBLICO" dataDxfId="5"/>
    <tableColumn id="15" xr3:uid="{E181838B-2884-4788-A770-F1BA7B033365}" name="SELEÇÃO A PUBLICAR AVANÇAR" dataDxfId="4"/>
    <tableColumn id="6" xr3:uid="{2D888D58-F45D-4EDE-B023-F9A6E9A92B6D}" name="SELEÇÃO A PUBLICAR GM PRIVADO" dataDxfId="3"/>
    <tableColumn id="18" xr3:uid="{A9760938-0FB5-42B7-98C3-7471395A1291}" name="SELEÇÃO A PUBLICAR REFROTA PRIVADO" dataDxfId="2"/>
    <tableColumn id="10" xr3:uid="{C619930E-9A6C-4E85-B4DB-D5BE0BC53EEA}" name="VALOR EXECUTADO" dataDxfId="1"/>
    <tableColumn id="12" xr3:uid="{698399D7-C743-471D-BFA2-DD61CC68FDD2}" name="SALDO" dataDxfId="0">
      <calculatedColumnFormula>Tabela432[[#This Row],[LIMITE]]-Tabela432[[#This Row],[VALOR EXECUTADO]]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739F9-A5E0-4416-9F4A-56B804EE202B}">
  <dimension ref="A1:N11"/>
  <sheetViews>
    <sheetView tabSelected="1" workbookViewId="0">
      <selection activeCell="D13" sqref="D13"/>
    </sheetView>
  </sheetViews>
  <sheetFormatPr defaultRowHeight="15"/>
  <cols>
    <col min="1" max="1" width="25.140625" customWidth="1"/>
    <col min="2" max="2" width="28.42578125" customWidth="1"/>
    <col min="3" max="4" width="35.28515625" customWidth="1"/>
    <col min="5" max="5" width="32.5703125" customWidth="1"/>
    <col min="6" max="7" width="30.7109375" customWidth="1"/>
    <col min="8" max="10" width="32.7109375" customWidth="1"/>
    <col min="11" max="14" width="33.42578125" customWidth="1"/>
    <col min="15" max="15" width="28.5703125" customWidth="1"/>
  </cols>
  <sheetData>
    <row r="1" spans="1:14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" t="s">
        <v>13</v>
      </c>
    </row>
    <row r="2" spans="1:14">
      <c r="A2" t="s">
        <v>14</v>
      </c>
      <c r="B2" s="7">
        <v>558464000</v>
      </c>
      <c r="C2" s="7">
        <v>18807909.960000001</v>
      </c>
      <c r="D2" s="3" t="s">
        <v>15</v>
      </c>
      <c r="E2" s="7">
        <v>61750000</v>
      </c>
      <c r="F2" s="7">
        <v>136099957.27000001</v>
      </c>
      <c r="G2" s="3" t="s">
        <v>16</v>
      </c>
      <c r="H2" s="7">
        <v>124957952.8</v>
      </c>
      <c r="I2" s="3" t="s">
        <v>16</v>
      </c>
      <c r="J2" s="7">
        <v>447349233.38999999</v>
      </c>
      <c r="K2" s="3"/>
      <c r="L2" s="7">
        <v>153425000</v>
      </c>
      <c r="M2" s="7">
        <v>261057910.06999999</v>
      </c>
      <c r="N2" s="8">
        <f>Tabela432[[#This Row],[LIMITE]]-Tabela432[[#This Row],[VALOR EXECUTADO]]</f>
        <v>297406089.93000001</v>
      </c>
    </row>
    <row r="3" spans="1:14">
      <c r="A3" t="s">
        <v>17</v>
      </c>
      <c r="B3" s="7">
        <v>1510048000</v>
      </c>
      <c r="C3" s="7">
        <v>10763500</v>
      </c>
      <c r="D3" s="3" t="s">
        <v>15</v>
      </c>
      <c r="E3" s="7">
        <v>52250000</v>
      </c>
      <c r="F3" s="3" t="s">
        <v>18</v>
      </c>
      <c r="G3" s="7">
        <v>30587544.359999999</v>
      </c>
      <c r="H3" s="7">
        <v>261042697.31</v>
      </c>
      <c r="I3" s="7">
        <v>95000000</v>
      </c>
      <c r="J3" s="3" t="s">
        <v>19</v>
      </c>
      <c r="K3" s="3"/>
      <c r="L3" s="3" t="s">
        <v>20</v>
      </c>
      <c r="M3" s="7">
        <v>386630241.67000002</v>
      </c>
      <c r="N3" s="8">
        <f>Tabela432[[#This Row],[LIMITE]]-Tabela432[[#This Row],[VALOR EXECUTADO]]</f>
        <v>1123417758.3299999</v>
      </c>
    </row>
    <row r="4" spans="1:14">
      <c r="A4" t="s">
        <v>21</v>
      </c>
      <c r="B4" s="7">
        <v>456973000</v>
      </c>
      <c r="C4" s="3" t="s">
        <v>22</v>
      </c>
      <c r="D4" s="3" t="s">
        <v>15</v>
      </c>
      <c r="E4" s="7">
        <v>87166300</v>
      </c>
      <c r="F4" s="3" t="s">
        <v>18</v>
      </c>
      <c r="G4" s="3" t="s">
        <v>18</v>
      </c>
      <c r="H4" s="7">
        <v>63264813</v>
      </c>
      <c r="I4" s="7">
        <v>67000000</v>
      </c>
      <c r="J4" s="3" t="s">
        <v>19</v>
      </c>
      <c r="K4" s="3"/>
      <c r="L4" s="3" t="s">
        <v>20</v>
      </c>
      <c r="M4" s="7">
        <v>130264813</v>
      </c>
      <c r="N4" s="8">
        <f>Tabela432[[#This Row],[LIMITE]]-Tabela432[[#This Row],[VALOR EXECUTADO]]</f>
        <v>326708187</v>
      </c>
    </row>
    <row r="5" spans="1:14">
      <c r="A5" t="s">
        <v>23</v>
      </c>
      <c r="B5" s="7">
        <v>2982701000</v>
      </c>
      <c r="C5" s="7">
        <v>2607387176.6599998</v>
      </c>
      <c r="D5" s="7">
        <v>2789935189.5500002</v>
      </c>
      <c r="E5" s="7">
        <v>810224910.70000005</v>
      </c>
      <c r="F5" s="7">
        <v>283500000</v>
      </c>
      <c r="G5" s="7">
        <v>411660327.30000001</v>
      </c>
      <c r="H5" s="7">
        <v>1791343728.3900001</v>
      </c>
      <c r="I5" s="7">
        <v>60312000</v>
      </c>
      <c r="J5" s="7">
        <v>34763862.579999998</v>
      </c>
      <c r="K5" s="7">
        <v>1364935189.55</v>
      </c>
      <c r="L5" s="3" t="s">
        <v>20</v>
      </c>
      <c r="M5" s="7">
        <v>2546816055.6900001</v>
      </c>
      <c r="N5" s="8">
        <f>Tabela432[[#This Row],[LIMITE]]-Tabela432[[#This Row],[VALOR EXECUTADO]]</f>
        <v>435884944.30999994</v>
      </c>
    </row>
    <row r="6" spans="1:14">
      <c r="A6" t="s">
        <v>24</v>
      </c>
      <c r="B6" s="7">
        <v>891814000</v>
      </c>
      <c r="C6" s="7">
        <v>311977640.04000002</v>
      </c>
      <c r="D6" s="3" t="s">
        <v>15</v>
      </c>
      <c r="E6" s="7">
        <v>143608999.80000001</v>
      </c>
      <c r="F6" s="7">
        <v>70958485.340000004</v>
      </c>
      <c r="G6" s="3" t="s">
        <v>18</v>
      </c>
      <c r="H6" s="7">
        <v>312707369.72000003</v>
      </c>
      <c r="I6" s="7">
        <v>15600000</v>
      </c>
      <c r="J6" s="7">
        <v>227440634.56</v>
      </c>
      <c r="K6" s="3"/>
      <c r="L6" s="7">
        <v>14753700</v>
      </c>
      <c r="M6" s="7">
        <v>399265855.06</v>
      </c>
      <c r="N6" s="8">
        <f>Tabela432[[#This Row],[LIMITE]]-Tabela432[[#This Row],[VALOR EXECUTADO]]</f>
        <v>492548144.94</v>
      </c>
    </row>
    <row r="7" spans="1:14">
      <c r="A7" t="s">
        <v>25</v>
      </c>
      <c r="B7" s="7">
        <v>6400000000</v>
      </c>
      <c r="C7" s="7">
        <v>2948936226.6599998</v>
      </c>
      <c r="D7" s="7">
        <v>2789935189.5500002</v>
      </c>
      <c r="E7" s="7">
        <v>1155000210.5</v>
      </c>
      <c r="F7" s="7">
        <v>490558442.61000001</v>
      </c>
      <c r="G7" s="7">
        <v>442247871.66000003</v>
      </c>
      <c r="H7" s="7">
        <v>2553316561.2199998</v>
      </c>
      <c r="I7" s="7">
        <v>237912000</v>
      </c>
      <c r="J7" s="7">
        <v>709553730.52999997</v>
      </c>
      <c r="K7" s="7">
        <v>1364935189.55</v>
      </c>
      <c r="L7" s="7">
        <v>168178700</v>
      </c>
      <c r="M7" s="7">
        <v>3724034875.4899998</v>
      </c>
      <c r="N7" s="8">
        <f>Tabela432[[#This Row],[LIMITE]]-Tabela432[[#This Row],[VALOR EXECUTADO]]</f>
        <v>2675965124.5100002</v>
      </c>
    </row>
    <row r="9" spans="1:14" s="4" customFormat="1" ht="43.5">
      <c r="A9" s="4" t="s">
        <v>26</v>
      </c>
      <c r="D9" s="5" t="s">
        <v>27</v>
      </c>
      <c r="E9" s="5"/>
      <c r="N9" s="5" t="s">
        <v>28</v>
      </c>
    </row>
    <row r="10" spans="1:14">
      <c r="D10" s="9" t="s">
        <v>29</v>
      </c>
    </row>
    <row r="11" spans="1:14">
      <c r="C11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150ef9-4f9c-441d-8ced-c7d491dd0c3d">
      <Terms xmlns="http://schemas.microsoft.com/office/infopath/2007/PartnerControls"/>
    </lcf76f155ced4ddcb4097134ff3c332f>
    <TaxCatchAll xmlns="402ced5c-caaa-4c89-aae2-d6c39e84cf9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A88CC3DB4BEF140836682561FF1A3EC" ma:contentTypeVersion="15" ma:contentTypeDescription="Crie um novo documento." ma:contentTypeScope="" ma:versionID="ca5eff229fbcaa545b66b5ce8eef898d">
  <xsd:schema xmlns:xsd="http://www.w3.org/2001/XMLSchema" xmlns:xs="http://www.w3.org/2001/XMLSchema" xmlns:p="http://schemas.microsoft.com/office/2006/metadata/properties" xmlns:ns2="be150ef9-4f9c-441d-8ced-c7d491dd0c3d" xmlns:ns3="402ced5c-caaa-4c89-aae2-d6c39e84cf9c" targetNamespace="http://schemas.microsoft.com/office/2006/metadata/properties" ma:root="true" ma:fieldsID="cdce8bea7fe584665b84b999a83d812d" ns2:_="" ns3:_="">
    <xsd:import namespace="be150ef9-4f9c-441d-8ced-c7d491dd0c3d"/>
    <xsd:import namespace="402ced5c-caaa-4c89-aae2-d6c39e84cf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150ef9-4f9c-441d-8ced-c7d491dd0c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16dca66e-065c-44fb-a27b-5a0d1ff07f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2ced5c-caaa-4c89-aae2-d6c39e84cf9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574941a-864f-475b-81d6-f7adfffd02a4}" ma:internalName="TaxCatchAll" ma:showField="CatchAllData" ma:web="402ced5c-caaa-4c89-aae2-d6c39e84cf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D352A8D-207B-4C80-A58D-F51C5A8210E0}"/>
</file>

<file path=customXml/itemProps2.xml><?xml version="1.0" encoding="utf-8"?>
<ds:datastoreItem xmlns:ds="http://schemas.openxmlformats.org/officeDocument/2006/customXml" ds:itemID="{883DB4C4-CBDC-445E-A9E7-8CFEA139A9F9}"/>
</file>

<file path=customXml/itemProps3.xml><?xml version="1.0" encoding="utf-8"?>
<ds:datastoreItem xmlns:ds="http://schemas.openxmlformats.org/officeDocument/2006/customXml" ds:itemID="{33A8BBA2-6947-4BFB-AA72-3704E2BF184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Lanara de Sousa Quaresma</dc:creator>
  <cp:keywords/>
  <dc:description/>
  <cp:lastModifiedBy>Ana Paula Morais da Silva</cp:lastModifiedBy>
  <cp:revision/>
  <dcterms:created xsi:type="dcterms:W3CDTF">2026-08-17T16:40:28Z</dcterms:created>
  <dcterms:modified xsi:type="dcterms:W3CDTF">2026-10-06T18:58:22Z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2026-08-17T16:41:00Z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1f1be804-ebdf-42f4-bda1-7f29abe6d47a</vt:lpwstr>
  </property>
  <property fmtid="{D5CDD505-2E9C-101B-9397-08002B2CF9AE}" pid="7" name="MSIP_Label_defa4170-0d19-0005-0004-bc88714345d2_ActionId">
    <vt:lpwstr>738bc2f1-f414-4df4-9d6b-627685633d95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MediaServiceImageTags">
    <vt:lpwstr/>
  </property>
  <property fmtid="{D5CDD505-2E9C-101B-9397-08002B2CF9AE}" pid="11" name="ContentTypeId">
    <vt:lpwstr>0x0101004A88CC3DB4BEF140836682561FF1A3EC</vt:lpwstr>
  </property>
</Properties>
</file>