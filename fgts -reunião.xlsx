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cidades.sharepoint.com/sites/DEMOB/Documentos Compartilhados/AOF/Dados painel/vscode/"/>
    </mc:Choice>
  </mc:AlternateContent>
  <xr:revisionPtr revIDLastSave="1" documentId="8_{A80E839E-259F-43D5-B3EF-865F9444D52C}" xr6:coauthVersionLast="47" xr6:coauthVersionMax="47" xr10:uidLastSave="{952ECA4B-60F0-4E4B-841D-B962F09204BB}"/>
  <bookViews>
    <workbookView xWindow="28680" yWindow="-300" windowWidth="29040" windowHeight="15720" xr2:uid="{FC19E197-98C7-4572-A65B-E1DAE880E8FC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7" i="1" l="1"/>
  <c r="E7" i="1"/>
  <c r="K7" i="1"/>
  <c r="N3" i="1"/>
  <c r="O3" i="1" s="1"/>
  <c r="N4" i="1"/>
  <c r="O4" i="1" s="1"/>
  <c r="N5" i="1"/>
  <c r="O5" i="1" s="1"/>
  <c r="N6" i="1"/>
  <c r="O6" i="1" s="1"/>
  <c r="N2" i="1"/>
  <c r="O2" i="1" s="1"/>
  <c r="J7" i="1"/>
  <c r="H7" i="1"/>
  <c r="D7" i="1"/>
  <c r="M7" i="1"/>
  <c r="I7" i="1"/>
  <c r="G7" i="1"/>
  <c r="F7" i="1"/>
  <c r="C7" i="1"/>
  <c r="B7" i="1"/>
  <c r="N7" i="1" l="1"/>
  <c r="O7" i="1"/>
</calcChain>
</file>

<file path=xl/sharedStrings.xml><?xml version="1.0" encoding="utf-8"?>
<sst xmlns="http://schemas.openxmlformats.org/spreadsheetml/2006/main" count="26" uniqueCount="26">
  <si>
    <t>REGIÃO</t>
  </si>
  <si>
    <t>LIMITE</t>
  </si>
  <si>
    <t>A CONTRATAR AVANÇAR</t>
  </si>
  <si>
    <t>A CONTRATAR GM PÚBLICO</t>
  </si>
  <si>
    <t>A CONTRATAR GM PRIVADO</t>
  </si>
  <si>
    <t>A CONTRATAR REFROTA PRIVADO</t>
  </si>
  <si>
    <t>CONTRATADO AVANÇAR</t>
  </si>
  <si>
    <t>CONTRATADO GM PÚBLICO</t>
  </si>
  <si>
    <t>CONTRATADO REFROTA PRIVADO</t>
  </si>
  <si>
    <t>CONTRATADO REFROTA PÚBLICO</t>
  </si>
  <si>
    <t>SELEÇÃO A PUBLICAR AVANÇAR</t>
  </si>
  <si>
    <t>SELEÇÃO A PUBLICAR GM PRIVADO</t>
  </si>
  <si>
    <t>SELEÇÃO A PUBLICAR REFROTA PRIVADO</t>
  </si>
  <si>
    <t>VALOR EXECUTADO</t>
  </si>
  <si>
    <t>SALDO</t>
  </si>
  <si>
    <t>Centro-Oeste</t>
  </si>
  <si>
    <t>Nordeste</t>
  </si>
  <si>
    <t>Norte</t>
  </si>
  <si>
    <t>Sudeste</t>
  </si>
  <si>
    <t>Sul</t>
  </si>
  <si>
    <t>Brasil</t>
  </si>
  <si>
    <t>Observações:</t>
  </si>
  <si>
    <t>- Modernização do Trem Urbano de Teresina - Etapa 1 (complementação)
- Linha 5 SP: R$ 1,736 bi</t>
  </si>
  <si>
    <t>- TIC Trens: R$ 1,425 bi</t>
  </si>
  <si>
    <t>Juiz de Fora - pré selecionado</t>
  </si>
  <si>
    <t>- Linha 4 SP: R$ 1,25 bi (sem portaria de seleção)
- Bloco Leste SP: R$ 0,11 bi (sem portaria de seleção)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</si>
</sst>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0" fontId="0" fillId="0" borderId="0" xfId="0" applyAlignment="1">
      <alignment vertical="center"/>
    </xf>
    <xf numFmtId="0" fontId="0" fillId="0" borderId="0" xfId="0" quotePrefix="1" applyAlignment="1">
      <alignment vertical="center" wrapText="1"/>
    </xf>
  </cellXfs>
  <cellStyles count="1">
    <cellStyle name="Normal" xfId="0" builtinId="0"/>
  </cellStyles>
  <dxfs count="15"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4715D7-9B0B-455F-9072-8C994337E45C}" name="Tabela4" displayName="Tabela4" ref="A1:O7" totalsRowShown="0" headerRowDxfId="14">
  <autoFilter ref="A1:O7" xr:uid="{954715D7-9B0B-455F-9072-8C994337E45C}"/>
  <tableColumns count="15">
    <tableColumn id="1" xr3:uid="{B5B8BF11-707A-4BC8-A2C1-A7D0358A9348}" name="REGIÃO"/>
    <tableColumn id="2" xr3:uid="{A9A787E3-3297-45D4-AD38-FAF0492FBB87}" name="LIMITE" dataDxfId="13"/>
    <tableColumn id="3" xr3:uid="{E52FC587-C122-4E09-94C7-006CBEAAB6B1}" name="A CONTRATAR AVANÇAR" dataDxfId="12"/>
    <tableColumn id="14" xr3:uid="{C8327DF0-A230-45AF-AE40-F70F67953FD6}" name="A CONTRATAR GM PÚBLICO" dataDxfId="11"/>
    <tableColumn id="11" xr3:uid="{C222D503-B1F7-4AF2-89A1-CC63258A42C0}" name="A CONTRATAR GM PRIVADO" dataDxfId="10"/>
    <tableColumn id="4" xr3:uid="{DABD88B8-E580-474B-813C-A627A05B9B6E}" name="A CONTRATAR REFROTA PRIVADO" dataDxfId="9"/>
    <tableColumn id="5" xr3:uid="{5CB2CB12-2A58-4E86-A648-E06D63C1A9DD}" name="CONTRATADO AVANÇAR" dataDxfId="8"/>
    <tableColumn id="17" xr3:uid="{DD15AFD6-F22B-4760-B51C-FDA7D32AD047}" name="CONTRATADO GM PÚBLICO" dataDxfId="7"/>
    <tableColumn id="6" xr3:uid="{B0AC1022-E004-4FA6-9F13-9DBF15D4A5CB}" name="CONTRATADO REFROTA PRIVADO" dataDxfId="6"/>
    <tableColumn id="18" xr3:uid="{43706F6D-C9A2-439D-9936-5DDA19E6B02C}" name="CONTRATADO REFROTA PÚBLICO" dataDxfId="5"/>
    <tableColumn id="10" xr3:uid="{747EB698-687E-499A-9339-072D4D91699B}" name="SELEÇÃO A PUBLICAR AVANÇAR" dataDxfId="4"/>
    <tableColumn id="12" xr3:uid="{1766ED73-BF23-4294-9347-53D2792A9A10}" name="SELEÇÃO A PUBLICAR GM PRIVADO" dataDxfId="3"/>
    <tableColumn id="7" xr3:uid="{B36BF387-2CEE-476F-B7C5-72179650ACBB}" name="SELEÇÃO A PUBLICAR REFROTA PRIVADO" dataDxfId="2"/>
    <tableColumn id="8" xr3:uid="{B033591F-59A4-4544-88ED-C7C85A1495DC}" name="VALOR EXECUTADO" dataDxfId="1">
      <calculatedColumnFormula>G2+H2+I2+J2</calculatedColumnFormula>
    </tableColumn>
    <tableColumn id="9" xr3:uid="{F187A24E-B422-4442-9521-2861EAF015B5}" name="SALDO" dataDxfId="0">
      <calculatedColumnFormula>B2 - N2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739F9-A5E0-4416-9F4A-56B804EE202B}">
  <dimension ref="A1:O14"/>
  <sheetViews>
    <sheetView tabSelected="1" workbookViewId="0">
      <selection sqref="A1:XFD1"/>
    </sheetView>
  </sheetViews>
  <sheetFormatPr defaultRowHeight="15" x14ac:dyDescent="0.25"/>
  <cols>
    <col min="1" max="1" width="25.140625" customWidth="1"/>
    <col min="2" max="2" width="28.42578125" customWidth="1"/>
    <col min="3" max="4" width="35.28515625" customWidth="1"/>
    <col min="5" max="5" width="32.5703125" customWidth="1"/>
    <col min="6" max="6" width="30.7109375" customWidth="1"/>
    <col min="7" max="8" width="32.7109375" customWidth="1"/>
    <col min="9" max="12" width="33.42578125" customWidth="1"/>
    <col min="13" max="13" width="38.85546875" customWidth="1"/>
    <col min="14" max="14" width="31.42578125" customWidth="1"/>
    <col min="15" max="15" width="24.28515625" customWidth="1"/>
    <col min="16" max="16" width="28.5703125" customWidth="1"/>
  </cols>
  <sheetData>
    <row r="1" spans="1:15" ht="30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25">
      <c r="A2" t="s">
        <v>15</v>
      </c>
      <c r="B2" s="3">
        <v>558464000</v>
      </c>
      <c r="C2" s="3"/>
      <c r="D2" s="3"/>
      <c r="E2" s="3"/>
      <c r="F2" s="3">
        <v>167972000</v>
      </c>
      <c r="G2" s="3">
        <v>136099957.27000001</v>
      </c>
      <c r="H2" s="3"/>
      <c r="I2" s="3">
        <v>115485738.40000001</v>
      </c>
      <c r="J2" s="3"/>
      <c r="K2" s="3">
        <v>411730000</v>
      </c>
      <c r="L2" s="3"/>
      <c r="M2" s="3">
        <v>0</v>
      </c>
      <c r="N2" s="3">
        <f t="shared" ref="N2:N7" si="0">G2+H2+I2+J2</f>
        <v>251585695.67000002</v>
      </c>
      <c r="O2" s="3">
        <f t="shared" ref="O2:O7" si="1">B2 - N2</f>
        <v>306878304.32999998</v>
      </c>
    </row>
    <row r="3" spans="1:15" x14ac:dyDescent="0.25">
      <c r="A3" t="s">
        <v>16</v>
      </c>
      <c r="B3" s="3">
        <v>1510048000</v>
      </c>
      <c r="C3" s="3"/>
      <c r="D3" s="3">
        <v>103340193.8</v>
      </c>
      <c r="E3" s="3"/>
      <c r="F3" s="3">
        <v>247650000</v>
      </c>
      <c r="G3" s="3"/>
      <c r="H3" s="3"/>
      <c r="I3" s="3">
        <v>222173447.31</v>
      </c>
      <c r="J3" s="3"/>
      <c r="K3" s="3"/>
      <c r="L3" s="3"/>
      <c r="M3" s="3">
        <v>0</v>
      </c>
      <c r="N3" s="3">
        <f t="shared" si="0"/>
        <v>222173447.31</v>
      </c>
      <c r="O3" s="3">
        <f t="shared" si="1"/>
        <v>1287874552.6900001</v>
      </c>
    </row>
    <row r="4" spans="1:15" x14ac:dyDescent="0.25">
      <c r="A4" t="s">
        <v>17</v>
      </c>
      <c r="B4" s="3">
        <v>456973000</v>
      </c>
      <c r="C4" s="3"/>
      <c r="D4" s="3"/>
      <c r="E4" s="3"/>
      <c r="F4" s="3">
        <v>123464300</v>
      </c>
      <c r="G4" s="3"/>
      <c r="H4" s="3"/>
      <c r="I4" s="3"/>
      <c r="J4" s="3">
        <v>67000000</v>
      </c>
      <c r="K4" s="3"/>
      <c r="L4" s="3"/>
      <c r="M4" s="3">
        <v>0</v>
      </c>
      <c r="N4" s="3">
        <f t="shared" si="0"/>
        <v>67000000</v>
      </c>
      <c r="O4" s="3">
        <f t="shared" si="1"/>
        <v>389973000</v>
      </c>
    </row>
    <row r="5" spans="1:15" x14ac:dyDescent="0.25">
      <c r="A5" t="s">
        <v>18</v>
      </c>
      <c r="B5" s="3">
        <v>2982701000</v>
      </c>
      <c r="C5" s="3">
        <v>1921011145.8199999</v>
      </c>
      <c r="D5" s="3">
        <v>1736500000</v>
      </c>
      <c r="E5" s="3">
        <v>1425000000</v>
      </c>
      <c r="F5" s="3">
        <v>1052168328</v>
      </c>
      <c r="G5" s="3">
        <v>33500000</v>
      </c>
      <c r="H5" s="3">
        <v>411660327.30000001</v>
      </c>
      <c r="I5" s="3">
        <v>1583406217.8299999</v>
      </c>
      <c r="J5" s="3">
        <v>60312000</v>
      </c>
      <c r="K5" s="3">
        <v>131823735</v>
      </c>
      <c r="L5" s="3">
        <v>1364935189.55</v>
      </c>
      <c r="M5" s="3">
        <v>19380000</v>
      </c>
      <c r="N5" s="3">
        <f t="shared" si="0"/>
        <v>2088878545.1299999</v>
      </c>
      <c r="O5" s="3">
        <f t="shared" si="1"/>
        <v>893822454.87000012</v>
      </c>
    </row>
    <row r="6" spans="1:15" x14ac:dyDescent="0.25">
      <c r="A6" t="s">
        <v>19</v>
      </c>
      <c r="B6" s="3">
        <v>891814000</v>
      </c>
      <c r="C6" s="3">
        <v>30884560.129999999</v>
      </c>
      <c r="D6" s="3"/>
      <c r="E6" s="3"/>
      <c r="F6" s="3">
        <v>401334200.61000001</v>
      </c>
      <c r="G6" s="3">
        <v>41380949.18</v>
      </c>
      <c r="H6" s="3"/>
      <c r="I6" s="3">
        <v>244353899.25</v>
      </c>
      <c r="J6" s="3">
        <v>15600000</v>
      </c>
      <c r="K6" s="3">
        <v>277820040.02999997</v>
      </c>
      <c r="L6" s="3"/>
      <c r="M6" s="3">
        <v>57350930</v>
      </c>
      <c r="N6" s="3">
        <f t="shared" si="0"/>
        <v>301334848.43000001</v>
      </c>
      <c r="O6" s="3">
        <f t="shared" si="1"/>
        <v>590479151.56999993</v>
      </c>
    </row>
    <row r="7" spans="1:15" x14ac:dyDescent="0.25">
      <c r="A7" t="s">
        <v>20</v>
      </c>
      <c r="B7" s="3">
        <f t="shared" ref="B7:M7" si="2">SUM(B2:B6)</f>
        <v>6400000000</v>
      </c>
      <c r="C7" s="3">
        <f t="shared" si="2"/>
        <v>1951895705.95</v>
      </c>
      <c r="D7" s="3">
        <f>SUM(D2:D6)</f>
        <v>1839840193.8</v>
      </c>
      <c r="E7" s="3">
        <f>SUM(E2:E6)</f>
        <v>1425000000</v>
      </c>
      <c r="F7" s="3">
        <f>SUM(F2:F6)</f>
        <v>1992588828.6100001</v>
      </c>
      <c r="G7" s="3">
        <f t="shared" si="2"/>
        <v>210980906.45000002</v>
      </c>
      <c r="H7" s="3">
        <f>SUM(H2:H6)</f>
        <v>411660327.30000001</v>
      </c>
      <c r="I7" s="3">
        <f t="shared" si="2"/>
        <v>2165419302.79</v>
      </c>
      <c r="J7" s="3">
        <f>SUM(J2:J6)</f>
        <v>142912000</v>
      </c>
      <c r="K7" s="3">
        <f>SUM(K2:K6)</f>
        <v>821373775.02999997</v>
      </c>
      <c r="L7" s="3">
        <f>SUM(L2:L6)</f>
        <v>1364935189.55</v>
      </c>
      <c r="M7" s="3">
        <f t="shared" si="2"/>
        <v>76730930</v>
      </c>
      <c r="N7" s="3">
        <f t="shared" si="0"/>
        <v>2930972536.54</v>
      </c>
      <c r="O7" s="3">
        <f t="shared" si="1"/>
        <v>3469027463.46</v>
      </c>
    </row>
    <row r="9" spans="1:15" s="4" customFormat="1" ht="60" x14ac:dyDescent="0.25">
      <c r="A9" s="4" t="s">
        <v>21</v>
      </c>
      <c r="D9" s="5" t="s">
        <v>22</v>
      </c>
      <c r="E9" s="5" t="s">
        <v>23</v>
      </c>
      <c r="K9" s="4" t="s">
        <v>24</v>
      </c>
      <c r="L9" s="5" t="s">
        <v>25</v>
      </c>
    </row>
    <row r="11" spans="1:15" x14ac:dyDescent="0.25">
      <c r="C11" s="3"/>
    </row>
    <row r="14" spans="1:15" x14ac:dyDescent="0.25">
      <c r="N14" s="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e150ef9-4f9c-441d-8ced-c7d491dd0c3d">
      <Terms xmlns="http://schemas.microsoft.com/office/infopath/2007/PartnerControls"/>
    </lcf76f155ced4ddcb4097134ff3c332f>
    <TaxCatchAll xmlns="402ced5c-caaa-4c89-aae2-d6c39e84cf9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A88CC3DB4BEF140836682561FF1A3EC" ma:contentTypeVersion="15" ma:contentTypeDescription="Crie um novo documento." ma:contentTypeScope="" ma:versionID="ca5eff229fbcaa545b66b5ce8eef898d">
  <xsd:schema xmlns:xsd="http://www.w3.org/2001/XMLSchema" xmlns:xs="http://www.w3.org/2001/XMLSchema" xmlns:p="http://schemas.microsoft.com/office/2006/metadata/properties" xmlns:ns2="be150ef9-4f9c-441d-8ced-c7d491dd0c3d" xmlns:ns3="402ced5c-caaa-4c89-aae2-d6c39e84cf9c" targetNamespace="http://schemas.microsoft.com/office/2006/metadata/properties" ma:root="true" ma:fieldsID="cdce8bea7fe584665b84b999a83d812d" ns2:_="" ns3:_="">
    <xsd:import namespace="be150ef9-4f9c-441d-8ced-c7d491dd0c3d"/>
    <xsd:import namespace="402ced5c-caaa-4c89-aae2-d6c39e84cf9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150ef9-4f9c-441d-8ced-c7d491dd0c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16dca66e-065c-44fb-a27b-5a0d1ff07f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2ced5c-caaa-4c89-aae2-d6c39e84cf9c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0574941a-864f-475b-81d6-f7adfffd02a4}" ma:internalName="TaxCatchAll" ma:showField="CatchAllData" ma:web="402ced5c-caaa-4c89-aae2-d6c39e84cf9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83DB4C4-CBDC-445E-A9E7-8CFEA139A9F9}">
  <ds:schemaRefs>
    <ds:schemaRef ds:uri="http://schemas.microsoft.com/office/2006/metadata/properties"/>
    <ds:schemaRef ds:uri="http://schemas.microsoft.com/office/infopath/2007/PartnerControls"/>
    <ds:schemaRef ds:uri="be150ef9-4f9c-441d-8ced-c7d491dd0c3d"/>
    <ds:schemaRef ds:uri="402ced5c-caaa-4c89-aae2-d6c39e84cf9c"/>
  </ds:schemaRefs>
</ds:datastoreItem>
</file>

<file path=customXml/itemProps2.xml><?xml version="1.0" encoding="utf-8"?>
<ds:datastoreItem xmlns:ds="http://schemas.openxmlformats.org/officeDocument/2006/customXml" ds:itemID="{ED352A8D-207B-4C80-A58D-F51C5A8210E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3A8BBA2-6947-4BFB-AA72-3704E2BF18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e150ef9-4f9c-441d-8ced-c7d491dd0c3d"/>
    <ds:schemaRef ds:uri="402ced5c-caaa-4c89-aae2-d6c39e84cf9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Lanara de Sousa Quaresma</dc:creator>
  <cp:keywords/>
  <dc:description/>
  <cp:lastModifiedBy>Wilke Carvalho Chaves</cp:lastModifiedBy>
  <cp:revision/>
  <dcterms:created xsi:type="dcterms:W3CDTF">2026-08-17T16:40:28Z</dcterms:created>
  <dcterms:modified xsi:type="dcterms:W3CDTF">2026-08-18T17:18:33Z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2026-08-17T16:41:00Z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1f1be804-ebdf-42f4-bda1-7f29abe6d47a</vt:lpwstr>
  </property>
  <property fmtid="{D5CDD505-2E9C-101B-9397-08002B2CF9AE}" pid="7" name="MSIP_Label_defa4170-0d19-0005-0004-bc88714345d2_ActionId">
    <vt:lpwstr>738bc2f1-f414-4df4-9d6b-627685633d95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  <property fmtid="{D5CDD505-2E9C-101B-9397-08002B2CF9AE}" pid="10" name="MediaServiceImageTags">
    <vt:lpwstr/>
  </property>
  <property fmtid="{D5CDD505-2E9C-101B-9397-08002B2CF9AE}" pid="11" name="ContentTypeId">
    <vt:lpwstr>0x0101004A88CC3DB4BEF140836682561FF1A3EC</vt:lpwstr>
  </property>
</Properties>
</file>